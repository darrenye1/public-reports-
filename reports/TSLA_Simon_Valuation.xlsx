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Historical FCFE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DCF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A365D"/>
      <sz val="12"/>
    </font>
    <font>
      <b val="1"/>
      <color rgb="00FFFFFF"/>
      <sz val="10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Simon FCFE DCF — Assumptions</t>
        </is>
      </c>
    </row>
    <row r="3">
      <c r="A3" t="inlineStr">
        <is>
          <t>Company</t>
        </is>
      </c>
      <c r="B3" t="inlineStr">
        <is>
          <t>Tesla, Inc.</t>
        </is>
      </c>
    </row>
    <row r="4">
      <c r="A4" t="inlineStr">
        <is>
          <t>Ticker</t>
        </is>
      </c>
      <c r="B4" t="inlineStr">
        <is>
          <t>TSLA</t>
        </is>
      </c>
    </row>
    <row r="5">
      <c r="A5" t="inlineStr">
        <is>
          <t>Valuation date</t>
        </is>
      </c>
      <c r="B5" t="inlineStr">
        <is>
          <t>2026-06-01</t>
        </is>
      </c>
    </row>
    <row r="6">
      <c r="A6" t="inlineStr"/>
      <c r="B6" t="inlineStr"/>
    </row>
    <row r="7">
      <c r="A7" t="inlineStr">
        <is>
          <t>CAPM — Risk-free rate (Rf)</t>
        </is>
      </c>
      <c r="B7" s="2" t="n">
        <v>0.04</v>
      </c>
    </row>
    <row r="8">
      <c r="A8" t="inlineStr">
        <is>
          <t>CAPM — Equity risk premium (ERP)</t>
        </is>
      </c>
      <c r="B8" s="2" t="n">
        <v>0.055</v>
      </c>
    </row>
    <row r="9">
      <c r="A9" t="inlineStr">
        <is>
          <t>Beta</t>
        </is>
      </c>
      <c r="B9" t="n">
        <v>1.793</v>
      </c>
    </row>
    <row r="10">
      <c r="A10" t="inlineStr">
        <is>
          <t>Cost of common equity (Ke)</t>
        </is>
      </c>
      <c r="B10" s="2" t="n">
        <v>0.138615</v>
      </c>
    </row>
    <row r="11">
      <c r="A11" t="inlineStr">
        <is>
          <t>Terminal growth (g)</t>
        </is>
      </c>
      <c r="B11" s="2" t="n">
        <v>0.04</v>
      </c>
    </row>
    <row r="12">
      <c r="A12" t="inlineStr">
        <is>
          <t>FCFE growth (forecast)</t>
        </is>
      </c>
      <c r="B12" s="2" t="n">
        <v>0.025</v>
      </c>
    </row>
    <row r="13">
      <c r="A13" t="inlineStr">
        <is>
          <t>Projection years</t>
        </is>
      </c>
      <c r="B13" t="n">
        <v>5</v>
      </c>
    </row>
    <row r="14">
      <c r="A14" t="inlineStr">
        <is>
          <t>Base FCFE (avg. historical, $)</t>
        </is>
      </c>
      <c r="B14" s="3" t="n">
        <v>5427500000</v>
      </c>
    </row>
    <row r="15">
      <c r="A15" t="inlineStr">
        <is>
          <t>Shares outstanding</t>
        </is>
      </c>
      <c r="B15" t="n">
        <v>3755723871</v>
      </c>
    </row>
    <row r="16">
      <c r="A16" t="inlineStr">
        <is>
          <t>Current share price ($)</t>
        </is>
      </c>
      <c r="B16" s="4" t="n">
        <v>420.11</v>
      </c>
    </row>
    <row r="17">
      <c r="A17" t="inlineStr">
        <is>
          <t>Implied price — DCF ($)</t>
        </is>
      </c>
      <c r="B17" s="4" t="n">
        <v>15.33371967889497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Historical FCFE Build (Simon components)</t>
        </is>
      </c>
    </row>
    <row r="2">
      <c r="A2" t="inlineStr">
        <is>
          <t>FCFE = Cash from operations + Cash from investing + Increase in debt</t>
        </is>
      </c>
    </row>
    <row r="4">
      <c r="A4" s="5" t="inlineStr">
        <is>
          <t>Line item ($)</t>
        </is>
      </c>
      <c r="B4" s="5" t="inlineStr">
        <is>
          <t>2022</t>
        </is>
      </c>
      <c r="C4" s="5" t="inlineStr">
        <is>
          <t>2023</t>
        </is>
      </c>
      <c r="D4" s="5" t="inlineStr">
        <is>
          <t>2024</t>
        </is>
      </c>
      <c r="E4" s="5" t="inlineStr">
        <is>
          <t>2025</t>
        </is>
      </c>
    </row>
    <row r="5">
      <c r="A5" t="inlineStr">
        <is>
          <t>+ Cash from operations</t>
        </is>
      </c>
      <c r="B5" s="3" t="n">
        <v>14724000000</v>
      </c>
      <c r="C5" s="3" t="n">
        <v>13256000000</v>
      </c>
      <c r="D5" s="3" t="n">
        <v>14923000000</v>
      </c>
      <c r="E5" s="3" t="n">
        <v>14747000000</v>
      </c>
    </row>
    <row r="6">
      <c r="A6" t="inlineStr">
        <is>
          <t>+ Cash from investing</t>
        </is>
      </c>
      <c r="B6" s="3" t="n">
        <v>-11973000000</v>
      </c>
      <c r="C6" s="3" t="n">
        <v>-15584000000</v>
      </c>
      <c r="D6" s="3" t="n">
        <v>-18787000000</v>
      </c>
      <c r="E6" s="3" t="n">
        <v>-15478000000</v>
      </c>
    </row>
    <row r="7">
      <c r="A7" t="inlineStr">
        <is>
          <t>+ Increase in debt</t>
        </is>
      </c>
      <c r="B7" s="3" t="n">
        <v>0</v>
      </c>
      <c r="C7" s="3" t="n">
        <v>3825000000</v>
      </c>
      <c r="D7" s="3" t="n">
        <v>4050000000</v>
      </c>
      <c r="E7" s="3" t="n">
        <v>1096000000</v>
      </c>
    </row>
    <row r="8">
      <c r="A8" t="inlineStr">
        <is>
          <t>- Increase in operating cash (MAX(0,-ΔCash))</t>
        </is>
      </c>
      <c r="B8" s="3" t="n">
        <v>776000000</v>
      </c>
      <c r="C8" s="3" t="n">
        <v>0</v>
      </c>
      <c r="D8" s="3" t="n">
        <v>11000000</v>
      </c>
      <c r="E8" s="3" t="n">
        <v>0</v>
      </c>
    </row>
    <row r="9">
      <c r="A9">
        <f> Simon FCFE (sum)</f>
        <v/>
      </c>
      <c r="B9" s="3" t="n">
        <v>2751000000</v>
      </c>
      <c r="C9" s="3" t="n">
        <v>1497000000</v>
      </c>
      <c r="D9" s="3" t="n">
        <v>186000000</v>
      </c>
      <c r="E9" s="3" t="n">
        <v>365000000</v>
      </c>
    </row>
    <row r="10">
      <c r="A10" t="inlineStr">
        <is>
          <t>Yahoo Free Cash Flow (reference)</t>
        </is>
      </c>
      <c r="B10" s="3" t="n">
        <v>7552000000</v>
      </c>
      <c r="C10" s="3" t="n">
        <v>4357000000</v>
      </c>
      <c r="D10" s="3" t="n">
        <v>3581000000</v>
      </c>
      <c r="E10" s="3" t="n">
        <v>6220000000</v>
      </c>
    </row>
    <row r="11">
      <c r="A11" t="inlineStr">
        <is>
          <t>FCFE used in valuation model</t>
        </is>
      </c>
      <c r="B11" s="3" t="n">
        <v>7552000000</v>
      </c>
      <c r="C11" s="3" t="n">
        <v>4357000000</v>
      </c>
      <c r="D11" s="3" t="n">
        <v>3581000000</v>
      </c>
      <c r="E11" s="3" t="n">
        <v>6220000000</v>
      </c>
    </row>
    <row r="12">
      <c r="A12" t="inlineStr">
        <is>
          <t>Average FCFE used as base</t>
        </is>
      </c>
      <c r="B12" s="3" t="n">
        <v>5427500000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DCF Valuation</t>
        </is>
      </c>
    </row>
    <row r="2">
      <c r="A2" t="inlineStr">
        <is>
          <t>Date of Valuation</t>
        </is>
      </c>
      <c r="B2" t="inlineStr">
        <is>
          <t>2026-06-01</t>
        </is>
      </c>
    </row>
    <row r="3">
      <c r="A3" t="inlineStr">
        <is>
          <t>Cost of Common Equity (Ke)</t>
        </is>
      </c>
      <c r="B3" s="2">
        <f>Assumptions!B10</f>
        <v/>
      </c>
    </row>
    <row r="5">
      <c r="B5" t="inlineStr">
        <is>
          <t>FY 2027E</t>
        </is>
      </c>
      <c r="C5" t="inlineStr">
        <is>
          <t>FY 2028E</t>
        </is>
      </c>
      <c r="D5" t="inlineStr">
        <is>
          <t>FY 2029E</t>
        </is>
      </c>
      <c r="E5" t="inlineStr">
        <is>
          <t>FY 2030E</t>
        </is>
      </c>
      <c r="F5" t="inlineStr">
        <is>
          <t>FY 2031E</t>
        </is>
      </c>
      <c r="G5" t="inlineStr">
        <is>
          <t>Terminal year</t>
        </is>
      </c>
    </row>
    <row r="6">
      <c r="A6" t="inlineStr">
        <is>
          <t>Free Cash Flow to Common Equity (forecast)</t>
        </is>
      </c>
    </row>
    <row r="16">
      <c r="B16" t="n">
        <v>2027</v>
      </c>
      <c r="C16" t="n">
        <v>2028</v>
      </c>
      <c r="D16" t="n">
        <v>2029</v>
      </c>
      <c r="E16" t="n">
        <v>2030</v>
      </c>
      <c r="F16" t="n">
        <v>2031</v>
      </c>
    </row>
    <row r="17">
      <c r="A17" t="inlineStr">
        <is>
          <t>Valuation to Common Equity</t>
        </is>
      </c>
      <c r="H17" s="6" t="inlineStr">
        <is>
          <t>Python model (reference)</t>
        </is>
      </c>
    </row>
    <row r="18">
      <c r="A18" t="inlineStr">
        <is>
          <t>Free Cash Flow to Common Equity</t>
        </is>
      </c>
      <c r="B18" s="3">
        <f>Assumptions!B14*(1+Assumptions!B12)</f>
        <v/>
      </c>
      <c r="C18" s="3">
        <f>B18*(1+Assumptions!B12)</f>
        <v/>
      </c>
      <c r="D18" s="3">
        <f>C18*(1+Assumptions!B12)</f>
        <v/>
      </c>
      <c r="E18" s="3">
        <f>D18*(1+Assumptions!B12)</f>
        <v/>
      </c>
      <c r="F18" s="3">
        <f>E18*(1+Assumptions!B12)</f>
        <v/>
      </c>
      <c r="G18" s="3">
        <f>F18</f>
        <v/>
      </c>
      <c r="H18" t="inlineStr">
        <is>
          <t>Projected FCFE ($)</t>
        </is>
      </c>
    </row>
    <row r="19">
      <c r="A19" t="inlineStr">
        <is>
          <t>Present Value of FCF</t>
        </is>
      </c>
      <c r="B19" s="3">
        <f>B18/(1+$B$3)^1</f>
        <v/>
      </c>
      <c r="C19" s="3">
        <f>C18/(1+$B$3)^2</f>
        <v/>
      </c>
      <c r="D19" s="3">
        <f>D18/(1+$B$3)^3</f>
        <v/>
      </c>
      <c r="E19" s="3">
        <f>E18/(1+$B$3)^4</f>
        <v/>
      </c>
      <c r="F19" s="3">
        <f>F18/(1+$B$3)^5</f>
        <v/>
      </c>
      <c r="G19" s="3" t="n"/>
      <c r="H19" s="3" t="n">
        <v>5563187499.999999</v>
      </c>
    </row>
    <row r="20">
      <c r="A20" t="inlineStr">
        <is>
          <t>Present Value Beyond 5 Years</t>
        </is>
      </c>
      <c r="B20" s="3">
        <f>(F18/($B$3-Assumptions!B11))/(1+$B$3)^5</f>
        <v/>
      </c>
      <c r="C20" s="3" t="n"/>
      <c r="D20" s="3" t="n"/>
      <c r="E20" s="3" t="n"/>
      <c r="F20" s="3" t="n"/>
      <c r="G20" s="3" t="n"/>
      <c r="H20" s="3" t="n">
        <v>5702267187.499998</v>
      </c>
    </row>
    <row r="21">
      <c r="A21" t="inlineStr">
        <is>
          <t>Present Value of First 5 Years</t>
        </is>
      </c>
      <c r="B21" s="3">
        <f>SUM(B19:F19)</f>
        <v/>
      </c>
      <c r="C21" s="3" t="n"/>
      <c r="D21" s="3" t="n"/>
      <c r="E21" s="3" t="n"/>
      <c r="F21" s="3" t="n"/>
      <c r="G21" s="3" t="n"/>
      <c r="H21" s="3" t="n">
        <v>5844823867.187497</v>
      </c>
      <c r="I21" s="2">
        <f>Assumptions!B11</f>
        <v/>
      </c>
    </row>
    <row r="22">
      <c r="A22" t="inlineStr">
        <is>
          <t>Forecast Equity Value Before Time Adj.</t>
        </is>
      </c>
      <c r="B22" s="3">
        <f>SUM(B20:B21)</f>
        <v/>
      </c>
      <c r="C22" s="3" t="n"/>
      <c r="D22" s="3" t="n"/>
      <c r="E22" s="3" t="n"/>
      <c r="F22" s="3" t="n"/>
      <c r="G22" s="3" t="n"/>
      <c r="H22" s="3" t="n">
        <v>5990944463.867184</v>
      </c>
    </row>
    <row r="23">
      <c r="A23" t="inlineStr">
        <is>
          <t>Forecasted Value as of Valuation Date (mid-year adj.)</t>
        </is>
      </c>
      <c r="B23" s="3">
        <f>B22*(1+B3/2)</f>
        <v/>
      </c>
      <c r="C23" s="3" t="n"/>
      <c r="D23" s="3" t="n"/>
      <c r="E23" s="3" t="n"/>
      <c r="F23" s="3" t="n"/>
      <c r="G23" s="3" t="n"/>
      <c r="H23" s="3" t="n">
        <v>6140718075.463862</v>
      </c>
    </row>
    <row r="24">
      <c r="A24" t="inlineStr">
        <is>
          <t>Excess Cash on Valuation Date</t>
        </is>
      </c>
      <c r="B24" t="n">
        <v>0</v>
      </c>
    </row>
    <row r="25">
      <c r="A25" t="inlineStr">
        <is>
          <t>Less Value of Contingent Equity Claims</t>
        </is>
      </c>
      <c r="B25" t="n">
        <v>0</v>
      </c>
    </row>
    <row r="26">
      <c r="A26" t="inlineStr">
        <is>
          <t>Value Attributable to Common Equity</t>
        </is>
      </c>
      <c r="B26" s="3">
        <f>B23</f>
        <v/>
      </c>
      <c r="C26" s="3" t="n"/>
      <c r="D26" s="3" t="n"/>
      <c r="E26" s="3" t="n"/>
      <c r="F26" s="3" t="n"/>
      <c r="G26" s="3" t="n"/>
      <c r="H26" s="3" t="n">
        <v>57589217029.24828</v>
      </c>
    </row>
    <row r="27">
      <c r="A27" t="inlineStr">
        <is>
          <t>Common Shares Outstanding</t>
        </is>
      </c>
      <c r="B27">
        <f>Assumptions!B15</f>
        <v/>
      </c>
    </row>
    <row r="28">
      <c r="A28" t="inlineStr">
        <is>
          <t>Forecast Price / Share</t>
        </is>
      </c>
      <c r="B28" s="4">
        <f>B26/B27</f>
        <v/>
      </c>
      <c r="C28" s="4" t="n"/>
      <c r="D28" s="4" t="n"/>
      <c r="E28" s="4" t="n"/>
      <c r="F28" s="4" t="n"/>
      <c r="G28" s="4" t="n"/>
      <c r="H28" s="4" t="n">
        <v>15.33371967889497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DCF audit trail (computed values)</t>
        </is>
      </c>
    </row>
    <row r="3">
      <c r="A3" t="inlineStr">
        <is>
          <t>Line Item</t>
        </is>
      </c>
      <c r="B3" t="inlineStr">
        <is>
          <t>Value / Formula</t>
        </is>
      </c>
    </row>
    <row r="4">
      <c r="A4" t="inlineStr">
        <is>
          <t>Model</t>
        </is>
      </c>
      <c r="B4" t="inlineStr">
        <is>
          <t>Simon FCFE DCF (equity value to common shareholders)</t>
        </is>
      </c>
    </row>
    <row r="5">
      <c r="A5" t="inlineStr">
        <is>
          <t>Cost of equity (Ke)</t>
        </is>
      </c>
      <c r="B5" t="inlineStr">
        <is>
          <t>13.86%</t>
        </is>
      </c>
    </row>
    <row r="6">
      <c r="A6" t="inlineStr">
        <is>
          <t>Terminal growth (g)</t>
        </is>
      </c>
      <c r="B6" t="inlineStr">
        <is>
          <t>4.00%</t>
        </is>
      </c>
    </row>
    <row r="7">
      <c r="A7" t="inlineStr">
        <is>
          <t>FCFE growth (forecast)</t>
        </is>
      </c>
      <c r="B7" t="inlineStr">
        <is>
          <t>2.50%</t>
        </is>
      </c>
    </row>
    <row r="8">
      <c r="A8" t="inlineStr">
        <is>
          <t>Projection horizon</t>
        </is>
      </c>
      <c r="B8" t="inlineStr">
        <is>
          <t>5 years</t>
        </is>
      </c>
    </row>
    <row r="9">
      <c r="A9" t="inlineStr">
        <is>
          <t>Base FCFE (avg. historical)</t>
        </is>
      </c>
      <c r="B9" t="inlineStr">
        <is>
          <t>$5.43B</t>
        </is>
      </c>
    </row>
    <row r="10">
      <c r="A10" t="inlineStr"/>
      <c r="B10" t="inlineStr"/>
    </row>
    <row r="11">
      <c r="A11" t="inlineStr">
        <is>
          <t>Year</t>
        </is>
      </c>
      <c r="B11" t="inlineStr">
        <is>
          <t>Projected FCFE</t>
        </is>
      </c>
    </row>
    <row r="12">
      <c r="A12" t="inlineStr">
        <is>
          <t>Year 1</t>
        </is>
      </c>
      <c r="B12" t="inlineStr">
        <is>
          <t>$5.56B</t>
        </is>
      </c>
    </row>
    <row r="13">
      <c r="A13" t="inlineStr">
        <is>
          <t>Year 2</t>
        </is>
      </c>
      <c r="B13" t="inlineStr">
        <is>
          <t>$5.70B</t>
        </is>
      </c>
    </row>
    <row r="14">
      <c r="A14" t="inlineStr">
        <is>
          <t>Year 3</t>
        </is>
      </c>
      <c r="B14" t="inlineStr">
        <is>
          <t>$5.84B</t>
        </is>
      </c>
    </row>
    <row r="15">
      <c r="A15" t="inlineStr">
        <is>
          <t>Year 4</t>
        </is>
      </c>
      <c r="B15" t="inlineStr">
        <is>
          <t>$5.99B</t>
        </is>
      </c>
    </row>
    <row r="16">
      <c r="A16" t="inlineStr">
        <is>
          <t>Year 5</t>
        </is>
      </c>
      <c r="B16" t="inlineStr">
        <is>
          <t>$6.14B</t>
        </is>
      </c>
    </row>
    <row r="17">
      <c r="A17" t="inlineStr"/>
      <c r="B17" t="inlineStr"/>
    </row>
    <row r="18">
      <c r="A18" t="inlineStr">
        <is>
          <t>PV of explicit period (Y1-Y5)</t>
        </is>
      </c>
      <c r="B18" t="inlineStr"/>
    </row>
    <row r="19">
      <c r="A19" t="inlineStr">
        <is>
          <t>Terminal-year FCFE</t>
        </is>
      </c>
      <c r="B19" t="inlineStr">
        <is>
          <t>$6.39B</t>
        </is>
      </c>
    </row>
    <row r="20">
      <c r="A20" t="inlineStr">
        <is>
          <t>Terminal value at Y5</t>
        </is>
      </c>
      <c r="B20" t="inlineStr">
        <is>
          <t>$64.76B</t>
        </is>
      </c>
    </row>
    <row r="21">
      <c r="A21" t="inlineStr">
        <is>
          <t>PV of terminal value</t>
        </is>
      </c>
      <c r="B21" t="inlineStr"/>
    </row>
    <row r="22">
      <c r="A22" t="inlineStr">
        <is>
          <t>Equity value (pre mid-year adj.)</t>
        </is>
      </c>
      <c r="B22" t="inlineStr">
        <is>
          <t>$53.86B</t>
        </is>
      </c>
    </row>
    <row r="23">
      <c r="A23" t="inlineStr">
        <is>
          <t>Mid-year convention adjustment</t>
        </is>
      </c>
      <c r="B23" t="inlineStr">
        <is>
          <t>x (1 + Ke/2) = x 1.0693</t>
        </is>
      </c>
    </row>
    <row r="24">
      <c r="A24" t="inlineStr">
        <is>
          <t>Equity value (adjusted)</t>
        </is>
      </c>
      <c r="B24" t="inlineStr">
        <is>
          <t>$57.59B</t>
        </is>
      </c>
    </row>
    <row r="25">
      <c r="A25" t="inlineStr">
        <is>
          <t>Shares outstanding</t>
        </is>
      </c>
      <c r="B25" t="inlineStr">
        <is>
          <t>3755.72M</t>
        </is>
      </c>
    </row>
    <row r="26">
      <c r="A26" t="inlineStr">
        <is>
          <t>Implied price per share</t>
        </is>
      </c>
      <c r="B26" t="inlineStr">
        <is>
          <t>$15.33</t>
        </is>
      </c>
    </row>
    <row r="27">
      <c r="A27" t="inlineStr">
        <is>
          <t>vs. current price</t>
        </is>
      </c>
      <c r="B27" t="inlineStr">
        <is>
          <t>-96.4%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2026-06-01T17:04:39Z</dcterms:created>
  <dcterms:modified xmlns:dcterms="http://purl.org/dc/terms/" xmlns:xsi="http://www.w3.org/2001/XMLSchema-instance" xsi:type="dcterms:W3CDTF">2026-06-01T17:04:39Z</dcterms:modified>
</cp:coreProperties>
</file>